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Work\Engineering\Robotics\Kuka Project\GIthub_Repos\Phase 1 Design, Kinematics &amp; Core Theory (The Digital Foundation)\1 Conceptual Design &amp; CAD\Solidwork FIles\"/>
    </mc:Choice>
  </mc:AlternateContent>
  <xr:revisionPtr revIDLastSave="0" documentId="13_ncr:1_{0CD82BB6-51B2-44A4-A0D8-4005EEEC8D74}" xr6:coauthVersionLast="47" xr6:coauthVersionMax="47" xr10:uidLastSave="{00000000-0000-0000-0000-000000000000}"/>
  <bookViews>
    <workbookView xWindow="7020" yWindow="45" windowWidth="21600" windowHeight="11295" activeTab="3" xr2:uid="{00000000-000D-0000-FFFF-FFFF00000000}"/>
  </bookViews>
  <sheets>
    <sheet name="3d parts" sheetId="1" r:id="rId1"/>
    <sheet name="Bearings" sheetId="2" r:id="rId2"/>
    <sheet name="Shafts" sheetId="3" r:id="rId3"/>
    <sheet name="Scews And Nu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2" l="1"/>
  <c r="E14" i="2"/>
  <c r="B22" i="2"/>
  <c r="B23" i="2"/>
  <c r="B24" i="2"/>
  <c r="B25" i="2"/>
  <c r="B21" i="2"/>
  <c r="B26" i="2" l="1"/>
</calcChain>
</file>

<file path=xl/sharedStrings.xml><?xml version="1.0" encoding="utf-8"?>
<sst xmlns="http://schemas.openxmlformats.org/spreadsheetml/2006/main" count="101" uniqueCount="53">
  <si>
    <t>Joint 01</t>
  </si>
  <si>
    <t>Body</t>
  </si>
  <si>
    <t>Type</t>
  </si>
  <si>
    <t>Name</t>
  </si>
  <si>
    <t>Base</t>
  </si>
  <si>
    <t>Bottom support</t>
  </si>
  <si>
    <t>Bottom Tube</t>
  </si>
  <si>
    <t>Base Plate</t>
  </si>
  <si>
    <t>Nema 17 pulley</t>
  </si>
  <si>
    <t>Base Wall</t>
  </si>
  <si>
    <t>Motor Spacer</t>
  </si>
  <si>
    <t>BassWall Cover</t>
  </si>
  <si>
    <t>Pulley</t>
  </si>
  <si>
    <t>J1 Pulley Spacer</t>
  </si>
  <si>
    <t>GT2 Pully 100 Teeth</t>
  </si>
  <si>
    <t>Joint 02</t>
  </si>
  <si>
    <t>Arm_Joint_02</t>
  </si>
  <si>
    <t>Cover_Arm_Joint_02</t>
  </si>
  <si>
    <t>Spacer_Arm_Joint_02</t>
  </si>
  <si>
    <t>Joint_02 GT2 Pully Spacer</t>
  </si>
  <si>
    <t>#</t>
  </si>
  <si>
    <t>Gt2 Pulley 80 Teeth</t>
  </si>
  <si>
    <t>Toothless Pulley</t>
  </si>
  <si>
    <t>Smooth Idler Pulley</t>
  </si>
  <si>
    <t>Joint</t>
  </si>
  <si>
    <t>Outter</t>
  </si>
  <si>
    <t>Inner</t>
  </si>
  <si>
    <t>Width</t>
  </si>
  <si>
    <t>Links between</t>
  </si>
  <si>
    <t>ISO</t>
  </si>
  <si>
    <t>Angular Contact</t>
  </si>
  <si>
    <t>Thrust</t>
  </si>
  <si>
    <t>Quantity</t>
  </si>
  <si>
    <t>Shaft</t>
  </si>
  <si>
    <t>Basewall</t>
  </si>
  <si>
    <t>Contact Ball bearing</t>
  </si>
  <si>
    <t>F695</t>
  </si>
  <si>
    <t>Shaft motor</t>
  </si>
  <si>
    <t>Base Cover</t>
  </si>
  <si>
    <t>Precision Ball Bearing</t>
  </si>
  <si>
    <t xml:space="preserve">Idler Pulley </t>
  </si>
  <si>
    <t>Arm</t>
  </si>
  <si>
    <t>Shaft J3</t>
  </si>
  <si>
    <t>Joint 03</t>
  </si>
  <si>
    <t>Akher el shaft el tawil</t>
  </si>
  <si>
    <t>Maskein el shaft ek tawil f awelo</t>
  </si>
  <si>
    <t>El idlers ele haylef 3aleiha el belt</t>
  </si>
  <si>
    <t>Joint 05</t>
  </si>
  <si>
    <t>Joint 04</t>
  </si>
  <si>
    <t>Shoaft el joint el Sades</t>
  </si>
  <si>
    <t>Outer</t>
  </si>
  <si>
    <t>Price</t>
  </si>
  <si>
    <t>Total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</si>
</sst>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workbookViewId="0">
      <selection activeCell="I16" sqref="I16"/>
    </sheetView>
  </sheetViews>
  <sheetFormatPr defaultRowHeight="15" x14ac:dyDescent="0.25"/>
  <cols>
    <col min="3" max="3" width="23.5703125" bestFit="1" customWidth="1"/>
  </cols>
  <sheetData>
    <row r="1" spans="1:4" ht="15.75" thickBot="1" x14ac:dyDescent="0.3">
      <c r="A1" s="28" t="s">
        <v>2</v>
      </c>
      <c r="B1" s="28"/>
      <c r="C1" s="14" t="s">
        <v>3</v>
      </c>
      <c r="D1" s="14" t="s">
        <v>20</v>
      </c>
    </row>
    <row r="2" spans="1:4" x14ac:dyDescent="0.25">
      <c r="A2" s="32" t="s">
        <v>4</v>
      </c>
      <c r="B2" s="29" t="s">
        <v>1</v>
      </c>
      <c r="C2" s="2" t="s">
        <v>5</v>
      </c>
      <c r="D2" s="3">
        <v>1</v>
      </c>
    </row>
    <row r="3" spans="1:4" x14ac:dyDescent="0.25">
      <c r="A3" s="33"/>
      <c r="B3" s="30"/>
      <c r="C3" s="4" t="s">
        <v>6</v>
      </c>
      <c r="D3" s="5">
        <v>1</v>
      </c>
    </row>
    <row r="4" spans="1:4" x14ac:dyDescent="0.25">
      <c r="A4" s="33"/>
      <c r="B4" s="30"/>
      <c r="C4" s="4" t="s">
        <v>7</v>
      </c>
      <c r="D4" s="5">
        <v>1</v>
      </c>
    </row>
    <row r="5" spans="1:4" ht="15.75" thickBot="1" x14ac:dyDescent="0.3">
      <c r="A5" s="34"/>
      <c r="B5" s="6" t="s">
        <v>12</v>
      </c>
      <c r="C5" s="6" t="s">
        <v>8</v>
      </c>
      <c r="D5" s="7">
        <v>1</v>
      </c>
    </row>
    <row r="6" spans="1:4" x14ac:dyDescent="0.25">
      <c r="A6" s="35" t="s">
        <v>0</v>
      </c>
      <c r="B6" s="38" t="s">
        <v>1</v>
      </c>
      <c r="C6" s="8" t="s">
        <v>9</v>
      </c>
      <c r="D6" s="9">
        <v>1</v>
      </c>
    </row>
    <row r="7" spans="1:4" x14ac:dyDescent="0.25">
      <c r="A7" s="36"/>
      <c r="B7" s="39"/>
      <c r="C7" s="10" t="s">
        <v>10</v>
      </c>
      <c r="D7" s="11">
        <v>1</v>
      </c>
    </row>
    <row r="8" spans="1:4" x14ac:dyDescent="0.25">
      <c r="A8" s="36"/>
      <c r="B8" s="39"/>
      <c r="C8" s="10" t="s">
        <v>11</v>
      </c>
      <c r="D8" s="11">
        <v>1</v>
      </c>
    </row>
    <row r="9" spans="1:4" x14ac:dyDescent="0.25">
      <c r="A9" s="36"/>
      <c r="B9" s="39" t="s">
        <v>12</v>
      </c>
      <c r="C9" s="10" t="s">
        <v>13</v>
      </c>
      <c r="D9" s="11">
        <v>1</v>
      </c>
    </row>
    <row r="10" spans="1:4" x14ac:dyDescent="0.25">
      <c r="A10" s="36"/>
      <c r="B10" s="39"/>
      <c r="C10" s="10" t="s">
        <v>14</v>
      </c>
      <c r="D10" s="11">
        <v>1</v>
      </c>
    </row>
    <row r="11" spans="1:4" x14ac:dyDescent="0.25">
      <c r="A11" s="36"/>
      <c r="B11" s="39"/>
      <c r="C11" s="10" t="s">
        <v>8</v>
      </c>
      <c r="D11" s="11">
        <v>1</v>
      </c>
    </row>
    <row r="12" spans="1:4" ht="15.75" thickBot="1" x14ac:dyDescent="0.3">
      <c r="A12" s="37"/>
      <c r="B12" s="40"/>
      <c r="C12" s="12" t="s">
        <v>23</v>
      </c>
      <c r="D12" s="13">
        <v>1</v>
      </c>
    </row>
    <row r="13" spans="1:4" x14ac:dyDescent="0.25">
      <c r="A13" s="32" t="s">
        <v>15</v>
      </c>
      <c r="B13" s="29" t="s">
        <v>1</v>
      </c>
      <c r="C13" s="2" t="s">
        <v>16</v>
      </c>
      <c r="D13" s="3">
        <v>1</v>
      </c>
    </row>
    <row r="14" spans="1:4" x14ac:dyDescent="0.25">
      <c r="A14" s="33"/>
      <c r="B14" s="30"/>
      <c r="C14" s="4" t="s">
        <v>17</v>
      </c>
      <c r="D14" s="5">
        <v>1</v>
      </c>
    </row>
    <row r="15" spans="1:4" x14ac:dyDescent="0.25">
      <c r="A15" s="33"/>
      <c r="B15" s="30"/>
      <c r="C15" s="4" t="s">
        <v>18</v>
      </c>
      <c r="D15" s="5">
        <v>1</v>
      </c>
    </row>
    <row r="16" spans="1:4" x14ac:dyDescent="0.25">
      <c r="A16" s="33"/>
      <c r="B16" s="30" t="s">
        <v>12</v>
      </c>
      <c r="C16" s="4" t="s">
        <v>19</v>
      </c>
      <c r="D16" s="5">
        <v>1</v>
      </c>
    </row>
    <row r="17" spans="1:4" x14ac:dyDescent="0.25">
      <c r="A17" s="33"/>
      <c r="B17" s="30"/>
      <c r="C17" s="4" t="s">
        <v>21</v>
      </c>
      <c r="D17" s="5">
        <v>1</v>
      </c>
    </row>
    <row r="18" spans="1:4" x14ac:dyDescent="0.25">
      <c r="A18" s="33"/>
      <c r="B18" s="30"/>
      <c r="C18" s="4" t="s">
        <v>22</v>
      </c>
      <c r="D18" s="5">
        <v>2</v>
      </c>
    </row>
    <row r="19" spans="1:4" ht="15.75" thickBot="1" x14ac:dyDescent="0.3">
      <c r="A19" s="34"/>
      <c r="B19" s="31"/>
      <c r="C19" s="6" t="s">
        <v>8</v>
      </c>
      <c r="D19" s="7">
        <v>1</v>
      </c>
    </row>
  </sheetData>
  <mergeCells count="9">
    <mergeCell ref="A1:B1"/>
    <mergeCell ref="B13:B15"/>
    <mergeCell ref="B16:B19"/>
    <mergeCell ref="A13:A19"/>
    <mergeCell ref="A2:A5"/>
    <mergeCell ref="A6:A12"/>
    <mergeCell ref="B6:B8"/>
    <mergeCell ref="B2:B4"/>
    <mergeCell ref="B9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27CE2-A18A-49C8-858C-36F840735889}">
  <dimension ref="A1:L84"/>
  <sheetViews>
    <sheetView view="pageLayout" zoomScaleNormal="100" workbookViewId="0">
      <selection activeCell="D3" sqref="D3"/>
    </sheetView>
  </sheetViews>
  <sheetFormatPr defaultRowHeight="15" x14ac:dyDescent="0.25"/>
  <cols>
    <col min="1" max="1" width="9.140625" style="1"/>
    <col min="2" max="3" width="20.28515625" style="1" bestFit="1" customWidth="1"/>
    <col min="4" max="8" width="9.140625" style="1"/>
    <col min="9" max="12" width="15.7109375" style="1" customWidth="1"/>
    <col min="13" max="16384" width="9.140625" style="1"/>
  </cols>
  <sheetData>
    <row r="1" spans="1:12" ht="15.75" thickBot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15.75" thickBot="1" x14ac:dyDescent="0.3">
      <c r="A2" s="14" t="s">
        <v>24</v>
      </c>
      <c r="B2" s="14" t="s">
        <v>2</v>
      </c>
      <c r="C2" s="14" t="s">
        <v>3</v>
      </c>
      <c r="D2" s="14" t="s">
        <v>29</v>
      </c>
      <c r="E2" s="14" t="s">
        <v>32</v>
      </c>
      <c r="F2" s="14" t="s">
        <v>26</v>
      </c>
      <c r="G2" s="14" t="s">
        <v>25</v>
      </c>
      <c r="H2" s="14" t="s">
        <v>27</v>
      </c>
      <c r="I2" s="28" t="s">
        <v>28</v>
      </c>
      <c r="J2" s="28"/>
      <c r="K2" s="28" t="s">
        <v>28</v>
      </c>
      <c r="L2" s="28"/>
    </row>
    <row r="3" spans="1:12" ht="15.75" thickBot="1" x14ac:dyDescent="0.3">
      <c r="A3" s="28" t="s">
        <v>4</v>
      </c>
      <c r="B3" s="21" t="s">
        <v>30</v>
      </c>
      <c r="C3" s="2" t="s">
        <v>30</v>
      </c>
      <c r="D3" s="2">
        <v>7002</v>
      </c>
      <c r="E3" s="2">
        <v>2</v>
      </c>
      <c r="F3" s="2">
        <v>15</v>
      </c>
      <c r="G3" s="2">
        <v>32</v>
      </c>
      <c r="H3" s="2">
        <v>9</v>
      </c>
      <c r="I3" s="2" t="s">
        <v>5</v>
      </c>
      <c r="J3" s="2" t="s">
        <v>6</v>
      </c>
      <c r="K3" s="2" t="s">
        <v>7</v>
      </c>
      <c r="L3" s="3" t="s">
        <v>6</v>
      </c>
    </row>
    <row r="4" spans="1:12" ht="15.75" thickBot="1" x14ac:dyDescent="0.3">
      <c r="A4" s="28"/>
      <c r="B4" s="22" t="s">
        <v>31</v>
      </c>
      <c r="C4" s="6" t="s">
        <v>31</v>
      </c>
      <c r="D4" s="6">
        <v>51104</v>
      </c>
      <c r="E4" s="6">
        <v>2</v>
      </c>
      <c r="F4" s="6">
        <v>20</v>
      </c>
      <c r="G4" s="6">
        <v>35</v>
      </c>
      <c r="H4" s="6">
        <v>10</v>
      </c>
      <c r="I4" s="6" t="s">
        <v>5</v>
      </c>
      <c r="J4" s="6" t="s">
        <v>6</v>
      </c>
      <c r="K4" s="6" t="s">
        <v>7</v>
      </c>
      <c r="L4" s="7" t="s">
        <v>6</v>
      </c>
    </row>
    <row r="5" spans="1:12" ht="15.75" thickBot="1" x14ac:dyDescent="0.3">
      <c r="A5" s="41" t="s">
        <v>0</v>
      </c>
      <c r="B5" s="23" t="s">
        <v>30</v>
      </c>
      <c r="C5" s="8" t="s">
        <v>30</v>
      </c>
      <c r="D5" s="8">
        <v>7002</v>
      </c>
      <c r="E5" s="8">
        <v>2</v>
      </c>
      <c r="F5" s="8">
        <v>15</v>
      </c>
      <c r="G5" s="8">
        <v>32</v>
      </c>
      <c r="H5" s="8">
        <v>9</v>
      </c>
      <c r="I5" s="8" t="s">
        <v>34</v>
      </c>
      <c r="J5" s="8" t="s">
        <v>33</v>
      </c>
      <c r="K5" s="8" t="s">
        <v>34</v>
      </c>
      <c r="L5" s="9" t="s">
        <v>33</v>
      </c>
    </row>
    <row r="6" spans="1:12" ht="15.75" thickBot="1" x14ac:dyDescent="0.3">
      <c r="A6" s="41"/>
      <c r="B6" s="24" t="s">
        <v>31</v>
      </c>
      <c r="C6" s="10" t="s">
        <v>31</v>
      </c>
      <c r="D6" s="10">
        <v>51104</v>
      </c>
      <c r="E6" s="10">
        <v>1</v>
      </c>
      <c r="F6" s="10">
        <v>20</v>
      </c>
      <c r="G6" s="10">
        <v>35</v>
      </c>
      <c r="H6" s="10">
        <v>10</v>
      </c>
      <c r="I6" s="10" t="s">
        <v>34</v>
      </c>
      <c r="J6" s="10" t="s">
        <v>33</v>
      </c>
      <c r="K6" s="10"/>
      <c r="L6" s="11"/>
    </row>
    <row r="7" spans="1:12" ht="15.75" thickBot="1" x14ac:dyDescent="0.3">
      <c r="A7" s="41"/>
      <c r="B7" s="24" t="s">
        <v>35</v>
      </c>
      <c r="C7" s="10" t="s">
        <v>35</v>
      </c>
      <c r="D7" s="10" t="s">
        <v>36</v>
      </c>
      <c r="E7" s="10">
        <v>1</v>
      </c>
      <c r="F7" s="10">
        <v>5</v>
      </c>
      <c r="G7" s="10">
        <v>13</v>
      </c>
      <c r="H7" s="10">
        <v>4</v>
      </c>
      <c r="I7" s="10" t="s">
        <v>37</v>
      </c>
      <c r="J7" s="10" t="s">
        <v>38</v>
      </c>
      <c r="K7" s="10"/>
      <c r="L7" s="11"/>
    </row>
    <row r="8" spans="1:12" ht="15.75" thickBot="1" x14ac:dyDescent="0.3">
      <c r="A8" s="41"/>
      <c r="B8" s="25" t="s">
        <v>39</v>
      </c>
      <c r="C8" s="12" t="s">
        <v>39</v>
      </c>
      <c r="D8" s="12">
        <v>625</v>
      </c>
      <c r="E8" s="12">
        <v>2</v>
      </c>
      <c r="F8" s="12">
        <v>5</v>
      </c>
      <c r="G8" s="12">
        <v>16</v>
      </c>
      <c r="H8" s="12">
        <v>5</v>
      </c>
      <c r="I8" s="40" t="s">
        <v>40</v>
      </c>
      <c r="J8" s="40"/>
      <c r="K8" s="40" t="s">
        <v>40</v>
      </c>
      <c r="L8" s="45"/>
    </row>
    <row r="9" spans="1:12" ht="15.75" thickBot="1" x14ac:dyDescent="0.3">
      <c r="A9" s="14" t="s">
        <v>15</v>
      </c>
      <c r="B9" s="26" t="s">
        <v>35</v>
      </c>
      <c r="C9" s="15" t="s">
        <v>35</v>
      </c>
      <c r="D9" s="15">
        <v>627</v>
      </c>
      <c r="E9" s="15">
        <v>2</v>
      </c>
      <c r="F9" s="15">
        <v>7</v>
      </c>
      <c r="G9" s="15">
        <v>22</v>
      </c>
      <c r="H9" s="15">
        <v>7</v>
      </c>
      <c r="I9" s="15" t="s">
        <v>41</v>
      </c>
      <c r="J9" s="15" t="s">
        <v>42</v>
      </c>
      <c r="K9" s="15"/>
      <c r="L9" s="16"/>
    </row>
    <row r="10" spans="1:12" ht="15.75" thickBot="1" x14ac:dyDescent="0.3">
      <c r="A10" s="41" t="s">
        <v>43</v>
      </c>
      <c r="B10" s="23" t="s">
        <v>35</v>
      </c>
      <c r="C10" s="8" t="s">
        <v>35</v>
      </c>
      <c r="D10" s="8">
        <v>7002</v>
      </c>
      <c r="E10" s="8">
        <v>2</v>
      </c>
      <c r="F10" s="8">
        <v>15</v>
      </c>
      <c r="G10" s="8">
        <v>32</v>
      </c>
      <c r="H10" s="8">
        <v>9</v>
      </c>
      <c r="I10" s="38" t="s">
        <v>45</v>
      </c>
      <c r="J10" s="38"/>
      <c r="K10" s="8"/>
      <c r="L10" s="9"/>
    </row>
    <row r="11" spans="1:12" ht="15.75" thickBot="1" x14ac:dyDescent="0.3">
      <c r="A11" s="41"/>
      <c r="B11" s="25" t="s">
        <v>35</v>
      </c>
      <c r="C11" s="12" t="s">
        <v>35</v>
      </c>
      <c r="D11" s="12">
        <v>625</v>
      </c>
      <c r="E11" s="12">
        <v>1</v>
      </c>
      <c r="F11" s="12">
        <v>5</v>
      </c>
      <c r="G11" s="12">
        <v>16</v>
      </c>
      <c r="H11" s="12">
        <v>5</v>
      </c>
      <c r="I11" s="40" t="s">
        <v>44</v>
      </c>
      <c r="J11" s="40"/>
      <c r="K11" s="12"/>
      <c r="L11" s="13"/>
    </row>
    <row r="12" spans="1:12" ht="15.75" thickBot="1" x14ac:dyDescent="0.3">
      <c r="A12" s="14" t="s">
        <v>48</v>
      </c>
      <c r="B12" s="26" t="s">
        <v>35</v>
      </c>
      <c r="C12" s="15" t="s">
        <v>35</v>
      </c>
      <c r="D12" s="15">
        <v>625</v>
      </c>
      <c r="E12" s="15">
        <v>4</v>
      </c>
      <c r="F12" s="15">
        <v>5</v>
      </c>
      <c r="G12" s="15">
        <v>16</v>
      </c>
      <c r="H12" s="15">
        <v>5</v>
      </c>
      <c r="I12" s="42" t="s">
        <v>46</v>
      </c>
      <c r="J12" s="42"/>
      <c r="K12" s="15"/>
      <c r="L12" s="16"/>
    </row>
    <row r="13" spans="1:12" ht="15.75" thickBot="1" x14ac:dyDescent="0.3">
      <c r="A13" s="17" t="s">
        <v>47</v>
      </c>
      <c r="B13" s="20" t="s">
        <v>35</v>
      </c>
      <c r="C13" s="18" t="s">
        <v>35</v>
      </c>
      <c r="D13" s="18">
        <v>625</v>
      </c>
      <c r="E13" s="18">
        <v>2</v>
      </c>
      <c r="F13" s="18">
        <v>5</v>
      </c>
      <c r="G13" s="18">
        <v>16</v>
      </c>
      <c r="H13" s="18">
        <v>5</v>
      </c>
      <c r="I13" s="43" t="s">
        <v>49</v>
      </c>
      <c r="J13" s="44"/>
      <c r="K13" s="18"/>
      <c r="L13" s="19"/>
    </row>
    <row r="14" spans="1:12" x14ac:dyDescent="0.25">
      <c r="A14" s="27"/>
      <c r="B14" s="27"/>
      <c r="C14" s="27"/>
      <c r="D14" s="27"/>
      <c r="E14" s="4">
        <f>SUM(E3:E13)</f>
        <v>21</v>
      </c>
      <c r="F14" s="27"/>
      <c r="G14" s="27"/>
      <c r="H14" s="27"/>
      <c r="I14" s="27"/>
      <c r="J14" s="27"/>
      <c r="K14" s="27"/>
      <c r="L14" s="27"/>
    </row>
    <row r="15" spans="1:12" x14ac:dyDescent="0.25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</row>
    <row r="16" spans="1:12" x14ac:dyDescent="0.25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</row>
    <row r="17" spans="1:12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</row>
    <row r="18" spans="1:12" x14ac:dyDescent="0.25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</row>
    <row r="19" spans="1:12" x14ac:dyDescent="0.25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</row>
    <row r="20" spans="1:12" x14ac:dyDescent="0.25">
      <c r="A20" s="4" t="s">
        <v>29</v>
      </c>
      <c r="B20" s="4" t="s">
        <v>32</v>
      </c>
      <c r="C20" s="4" t="s">
        <v>26</v>
      </c>
      <c r="D20" s="4" t="s">
        <v>50</v>
      </c>
      <c r="E20" s="4" t="s">
        <v>27</v>
      </c>
      <c r="F20" s="4" t="s">
        <v>51</v>
      </c>
      <c r="G20" s="4" t="s">
        <v>52</v>
      </c>
      <c r="H20" s="27"/>
      <c r="I20" s="27"/>
      <c r="J20" s="27"/>
      <c r="K20" s="27"/>
      <c r="L20" s="27"/>
    </row>
    <row r="21" spans="1:12" x14ac:dyDescent="0.25">
      <c r="A21" s="4">
        <v>7002</v>
      </c>
      <c r="B21" s="4">
        <f>SUMIF(D2:D98, A21, E2:E98)</f>
        <v>6</v>
      </c>
      <c r="C21" s="4">
        <v>15</v>
      </c>
      <c r="D21" s="4">
        <v>32</v>
      </c>
      <c r="E21" s="4">
        <v>9</v>
      </c>
      <c r="F21" s="4"/>
      <c r="G21" s="4"/>
      <c r="H21" s="27"/>
      <c r="I21" s="27"/>
      <c r="J21" s="27"/>
      <c r="K21" s="27"/>
      <c r="L21" s="27"/>
    </row>
    <row r="22" spans="1:12" x14ac:dyDescent="0.25">
      <c r="A22" s="4">
        <v>51104</v>
      </c>
      <c r="B22" s="4">
        <f>SUMIF(D3:D99, A22, E3:E99)</f>
        <v>3</v>
      </c>
      <c r="C22" s="4">
        <v>20</v>
      </c>
      <c r="D22" s="4">
        <v>35</v>
      </c>
      <c r="E22" s="4">
        <v>10</v>
      </c>
      <c r="F22" s="4"/>
      <c r="G22" s="4"/>
      <c r="H22" s="27"/>
      <c r="I22" s="27"/>
      <c r="J22" s="27"/>
      <c r="K22" s="27"/>
      <c r="L22" s="27"/>
    </row>
    <row r="23" spans="1:12" x14ac:dyDescent="0.25">
      <c r="A23" s="4" t="s">
        <v>36</v>
      </c>
      <c r="B23" s="4">
        <f>SUMIF(D4:D100, A23, E4:E100)</f>
        <v>1</v>
      </c>
      <c r="C23" s="4">
        <v>5</v>
      </c>
      <c r="D23" s="4">
        <v>13</v>
      </c>
      <c r="E23" s="4">
        <v>4</v>
      </c>
      <c r="F23" s="4"/>
      <c r="G23" s="4"/>
      <c r="H23" s="27"/>
      <c r="I23" s="27"/>
      <c r="J23" s="27"/>
      <c r="K23" s="27"/>
      <c r="L23" s="27"/>
    </row>
    <row r="24" spans="1:12" x14ac:dyDescent="0.25">
      <c r="A24" s="4">
        <v>627</v>
      </c>
      <c r="B24" s="4">
        <f>SUMIF(D6:D102, A24, E6:E102)</f>
        <v>2</v>
      </c>
      <c r="C24" s="4">
        <v>7</v>
      </c>
      <c r="D24" s="4">
        <v>22</v>
      </c>
      <c r="E24" s="4">
        <v>7</v>
      </c>
      <c r="F24" s="4"/>
      <c r="G24" s="4"/>
      <c r="H24" s="27"/>
      <c r="I24" s="27"/>
      <c r="J24" s="27"/>
      <c r="K24" s="27"/>
      <c r="L24" s="27"/>
    </row>
    <row r="25" spans="1:12" x14ac:dyDescent="0.25">
      <c r="A25" s="4">
        <v>625</v>
      </c>
      <c r="B25" s="4">
        <f>SUMIF(D8:D104, A25, E8:E104)</f>
        <v>9</v>
      </c>
      <c r="C25" s="4">
        <v>5</v>
      </c>
      <c r="D25" s="4">
        <v>16</v>
      </c>
      <c r="E25" s="4">
        <v>5</v>
      </c>
      <c r="F25" s="4"/>
      <c r="G25" s="4"/>
      <c r="H25" s="27"/>
      <c r="I25" s="27"/>
      <c r="J25" s="27"/>
      <c r="K25" s="27"/>
      <c r="L25" s="27"/>
    </row>
    <row r="26" spans="1:12" x14ac:dyDescent="0.25">
      <c r="A26" s="27"/>
      <c r="B26" s="4">
        <f>SUM(B21:B25)</f>
        <v>21</v>
      </c>
      <c r="C26" s="27"/>
      <c r="D26" s="27"/>
      <c r="E26" s="27"/>
      <c r="F26" s="27"/>
      <c r="G26" s="4">
        <f>SUM(G21:G25)</f>
        <v>0</v>
      </c>
      <c r="H26" s="27"/>
      <c r="I26" s="27"/>
      <c r="J26" s="27"/>
      <c r="K26" s="27"/>
      <c r="L26" s="27"/>
    </row>
    <row r="27" spans="1:12" x14ac:dyDescent="0.2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</row>
    <row r="28" spans="1:12" x14ac:dyDescent="0.25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2" x14ac:dyDescent="0.25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12" x14ac:dyDescent="0.2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12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</row>
    <row r="32" spans="1:12" x14ac:dyDescent="0.2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 x14ac:dyDescent="0.2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 x14ac:dyDescent="0.2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 x14ac:dyDescent="0.2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 x14ac:dyDescent="0.2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 x14ac:dyDescent="0.25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 x14ac:dyDescent="0.2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</row>
    <row r="39" spans="1:12" x14ac:dyDescent="0.2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</row>
    <row r="40" spans="1:12" x14ac:dyDescent="0.2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</row>
    <row r="41" spans="1:12" x14ac:dyDescent="0.25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</row>
    <row r="42" spans="1:12" x14ac:dyDescent="0.2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</row>
    <row r="43" spans="1:12" x14ac:dyDescent="0.25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</row>
    <row r="44" spans="1:12" x14ac:dyDescent="0.2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</row>
    <row r="45" spans="1:12" x14ac:dyDescent="0.2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</row>
    <row r="46" spans="1:12" x14ac:dyDescent="0.25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</row>
    <row r="47" spans="1:12" x14ac:dyDescent="0.25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</row>
    <row r="48" spans="1:12" x14ac:dyDescent="0.25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</row>
    <row r="49" spans="1:12" x14ac:dyDescent="0.25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</row>
    <row r="50" spans="1:12" x14ac:dyDescent="0.25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</row>
    <row r="51" spans="1:12" x14ac:dyDescent="0.25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</row>
    <row r="52" spans="1:12" x14ac:dyDescent="0.25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</row>
    <row r="53" spans="1:12" x14ac:dyDescent="0.25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</row>
    <row r="54" spans="1:12" x14ac:dyDescent="0.25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</row>
    <row r="55" spans="1:12" x14ac:dyDescent="0.25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</row>
    <row r="56" spans="1:12" x14ac:dyDescent="0.25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</row>
    <row r="57" spans="1:12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</row>
    <row r="58" spans="1:12" x14ac:dyDescent="0.25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</row>
    <row r="59" spans="1:12" x14ac:dyDescent="0.25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</row>
    <row r="60" spans="1:12" x14ac:dyDescent="0.25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</row>
    <row r="61" spans="1:12" x14ac:dyDescent="0.25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</row>
    <row r="62" spans="1:12" x14ac:dyDescent="0.25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</row>
    <row r="63" spans="1:12" x14ac:dyDescent="0.25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</row>
    <row r="64" spans="1:12" x14ac:dyDescent="0.25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</row>
    <row r="65" spans="1:12" x14ac:dyDescent="0.25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</row>
    <row r="66" spans="1:12" x14ac:dyDescent="0.25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</row>
    <row r="67" spans="1:12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</row>
    <row r="68" spans="1:12" x14ac:dyDescent="0.25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</row>
    <row r="69" spans="1:12" x14ac:dyDescent="0.25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</row>
    <row r="70" spans="1:12" x14ac:dyDescent="0.25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</row>
    <row r="71" spans="1:12" x14ac:dyDescent="0.25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</row>
    <row r="72" spans="1:12" x14ac:dyDescent="0.25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</row>
    <row r="73" spans="1:12" x14ac:dyDescent="0.25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</row>
    <row r="74" spans="1:12" x14ac:dyDescent="0.25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</row>
    <row r="75" spans="1:12" x14ac:dyDescent="0.25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</row>
    <row r="76" spans="1:12" x14ac:dyDescent="0.25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</row>
    <row r="77" spans="1:12" x14ac:dyDescent="0.2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</row>
    <row r="78" spans="1:12" x14ac:dyDescent="0.2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</row>
    <row r="79" spans="1:12" x14ac:dyDescent="0.2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</row>
    <row r="80" spans="1:12" x14ac:dyDescent="0.2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</row>
    <row r="81" spans="1:12" x14ac:dyDescent="0.2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</row>
    <row r="82" spans="1:12" x14ac:dyDescent="0.2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</row>
    <row r="83" spans="1:12" x14ac:dyDescent="0.2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</row>
    <row r="84" spans="1:12" x14ac:dyDescent="0.2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</row>
  </sheetData>
  <mergeCells count="11">
    <mergeCell ref="A3:A4"/>
    <mergeCell ref="I2:J2"/>
    <mergeCell ref="K2:L2"/>
    <mergeCell ref="I8:J8"/>
    <mergeCell ref="K8:L8"/>
    <mergeCell ref="A5:A8"/>
    <mergeCell ref="I11:J11"/>
    <mergeCell ref="I10:J10"/>
    <mergeCell ref="A10:A11"/>
    <mergeCell ref="I12:J12"/>
    <mergeCell ref="I13:J13"/>
  </mergeCells>
  <pageMargins left="0.7" right="0.7" top="0.75" bottom="0.75" header="0.3" footer="0.3"/>
  <pageSetup scale="5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64901-731D-4805-9898-BAEFBF04B8B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DF173-3712-469C-8216-13FC30CB8ABB}">
  <dimension ref="A1"/>
  <sheetViews>
    <sheetView tabSelected="1" workbookViewId="0">
      <selection activeCell="G28" sqref="G2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3d parts</vt:lpstr>
      <vt:lpstr>Bearings</vt:lpstr>
      <vt:lpstr>Shafts</vt:lpstr>
      <vt:lpstr>Scews And Nuts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Hany</dc:creator>
  <cp:lastModifiedBy>Mario Hany Khalil Malak</cp:lastModifiedBy>
  <dcterms:created xsi:type="dcterms:W3CDTF">2015-06-05T18:17:20Z</dcterms:created>
  <dcterms:modified xsi:type="dcterms:W3CDTF">2025-11-04T15:04:55Z</dcterms:modified>
</cp:coreProperties>
</file>