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\Engineering\Robotics\Kuka Project\GIthub_Repos\Phase 1 Design, Kinematics &amp; Core Theory (The Digital Foundation)\1 Conceptual Design &amp; CAD\Solidwork FIles\"/>
    </mc:Choice>
  </mc:AlternateContent>
  <xr:revisionPtr revIDLastSave="0" documentId="13_ncr:1_{6C65C11B-666D-4A37-86BB-83D49B9DA6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d parts" sheetId="1" r:id="rId1"/>
    <sheet name="Bearings" sheetId="2" r:id="rId2"/>
    <sheet name="Shafts" sheetId="3" r:id="rId3"/>
    <sheet name="Scews And Nuts" sheetId="4" r:id="rId4"/>
    <sheet name="Moto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E14" i="2"/>
  <c r="B22" i="2"/>
  <c r="B23" i="2"/>
  <c r="B24" i="2"/>
  <c r="B25" i="2"/>
  <c r="B21" i="2"/>
  <c r="B26" i="2" l="1"/>
</calcChain>
</file>

<file path=xl/sharedStrings.xml><?xml version="1.0" encoding="utf-8"?>
<sst xmlns="http://schemas.openxmlformats.org/spreadsheetml/2006/main" count="204" uniqueCount="101">
  <si>
    <t>Joint 01</t>
  </si>
  <si>
    <t>Body</t>
  </si>
  <si>
    <t>Type</t>
  </si>
  <si>
    <t>Name</t>
  </si>
  <si>
    <t>Base</t>
  </si>
  <si>
    <t>Bottom support</t>
  </si>
  <si>
    <t>Bottom Tube</t>
  </si>
  <si>
    <t>Base Plate</t>
  </si>
  <si>
    <t>Nema 17 pulley</t>
  </si>
  <si>
    <t>Base Wall</t>
  </si>
  <si>
    <t>Motor Spacer</t>
  </si>
  <si>
    <t>BassWall Cover</t>
  </si>
  <si>
    <t>Pulley</t>
  </si>
  <si>
    <t>J1 Pulley Spacer</t>
  </si>
  <si>
    <t>GT2 Pully 100 Teeth</t>
  </si>
  <si>
    <t>Joint 02</t>
  </si>
  <si>
    <t>Arm_Joint_02</t>
  </si>
  <si>
    <t>Cover_Arm_Joint_02</t>
  </si>
  <si>
    <t>Spacer_Arm_Joint_02</t>
  </si>
  <si>
    <t>Joint_02 GT2 Pully Spacer</t>
  </si>
  <si>
    <t>#</t>
  </si>
  <si>
    <t>Gt2 Pulley 80 Teeth</t>
  </si>
  <si>
    <t>Toothless Pulley</t>
  </si>
  <si>
    <t>Smooth Idler Pulley</t>
  </si>
  <si>
    <t>Joint</t>
  </si>
  <si>
    <t>Outter</t>
  </si>
  <si>
    <t>Inner</t>
  </si>
  <si>
    <t>Width</t>
  </si>
  <si>
    <t>Links between</t>
  </si>
  <si>
    <t>ISO</t>
  </si>
  <si>
    <t>Angular Contact</t>
  </si>
  <si>
    <t>Thrust</t>
  </si>
  <si>
    <t>Quantity</t>
  </si>
  <si>
    <t>Shaft</t>
  </si>
  <si>
    <t>Basewall</t>
  </si>
  <si>
    <t>Contact Ball bearing</t>
  </si>
  <si>
    <t>F695</t>
  </si>
  <si>
    <t>Shaft motor</t>
  </si>
  <si>
    <t>Base Cover</t>
  </si>
  <si>
    <t>Precision Ball Bearing</t>
  </si>
  <si>
    <t xml:space="preserve">Idler Pulley </t>
  </si>
  <si>
    <t>Arm</t>
  </si>
  <si>
    <t>Shaft J3</t>
  </si>
  <si>
    <t>Joint 03</t>
  </si>
  <si>
    <t>Akher el shaft el tawil</t>
  </si>
  <si>
    <t>Maskein el shaft ek tawil f awelo</t>
  </si>
  <si>
    <t>El idlers ele haylef 3aleiha el belt</t>
  </si>
  <si>
    <t>Joint 05</t>
  </si>
  <si>
    <t>Joint 04</t>
  </si>
  <si>
    <t>Shoaft el joint el Sades</t>
  </si>
  <si>
    <t>Outer</t>
  </si>
  <si>
    <t>Price</t>
  </si>
  <si>
    <t>Total Price</t>
  </si>
  <si>
    <t>Comment</t>
  </si>
  <si>
    <t>Link</t>
  </si>
  <si>
    <t>Timing Pulley GT2 (20 Teeth-5mm Inner Diameter-6mm Width)</t>
  </si>
  <si>
    <t xml:space="preserve">https://store.fut-electronics.com/products/timing-pulley-gt2-20-teeth-5mm-inner-diameter?_pos=1&amp;_sid=6231d177a&amp;_ss=r </t>
  </si>
  <si>
    <t xml:space="preserve"> </t>
  </si>
  <si>
    <t>Nuts</t>
  </si>
  <si>
    <t>Screws</t>
  </si>
  <si>
    <t>Length</t>
  </si>
  <si>
    <t>M5</t>
  </si>
  <si>
    <t>M3</t>
  </si>
  <si>
    <t>Notes</t>
  </si>
  <si>
    <t>Motor</t>
  </si>
  <si>
    <t>Shaft Diameter</t>
  </si>
  <si>
    <t>Nema 17</t>
  </si>
  <si>
    <t>Dimenssions</t>
  </si>
  <si>
    <t>Hight</t>
  </si>
  <si>
    <t>Face</t>
  </si>
  <si>
    <t>Shaft Length</t>
  </si>
  <si>
    <t>https://store.fut-electronics.com/products/stepper-motor-nema-17-2-kg-cm?srsltid=AfmBOor7iUlVBli6P_R2XbglL03inGiWnRub-3u4NxTeTpoBcFA3qkAD</t>
  </si>
  <si>
    <t>https://store.fut-electronics.com/products/idler-pulley-kit?_pos=1&amp;_sid=9ef139122&amp;_ss=r</t>
  </si>
  <si>
    <t>Has  625 2RS (5mm Bore)</t>
  </si>
  <si>
    <t xml:space="preserve">  Bearings are written again in the bearings Section</t>
  </si>
  <si>
    <t>Custmized shaft</t>
  </si>
  <si>
    <t>Dimennsions</t>
  </si>
  <si>
    <t>M4</t>
  </si>
  <si>
    <t>Add them fel design</t>
  </si>
  <si>
    <t>Nema 17 Gear 5:1</t>
  </si>
  <si>
    <t>https://ampere-electronics.com/product/nema17-stepper-motor-with-5-181-planetary-gearbox-17hs4401s-pg518/</t>
  </si>
  <si>
    <t>Et2aked men shaft diameter bta3 el motor ashan frl data sheet kateb 8 msh 7.5</t>
  </si>
  <si>
    <t>Zawedt wahed momken ahtago badal el shaft ele 3al idler</t>
  </si>
  <si>
    <t xml:space="preserve">Shaft </t>
  </si>
  <si>
    <t>5x40</t>
  </si>
  <si>
    <t>Lel idler</t>
  </si>
  <si>
    <t>96x15x13</t>
  </si>
  <si>
    <t>Ashan ylef el heta ele that</t>
  </si>
  <si>
    <t>Arm_joint_03</t>
  </si>
  <si>
    <t>Nema 14 Pulley</t>
  </si>
  <si>
    <t xml:space="preserve">No data </t>
  </si>
  <si>
    <t>Sceews</t>
  </si>
  <si>
    <t>M8</t>
  </si>
  <si>
    <t>Part thr</t>
  </si>
  <si>
    <t>Nema 14</t>
  </si>
  <si>
    <t>NA</t>
  </si>
  <si>
    <t>joint1</t>
  </si>
  <si>
    <t>JOint2</t>
  </si>
  <si>
    <t>JOint3</t>
  </si>
  <si>
    <t>washer</t>
  </si>
  <si>
    <t>8*16*1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</si>
</sst>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/>
    <xf numFmtId="0" fontId="3" fillId="0" borderId="0" xfId="0" applyFont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0" xfId="0" applyFont="1"/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e.fut-electronics.com/products/timing-pulley-gt2-20-teeth-5mm-inner-diameter?_pos=1&amp;_sid=6231d177a&amp;_ss=r" TargetMode="External"/><Relationship Id="rId2" Type="http://schemas.openxmlformats.org/officeDocument/2006/relationships/hyperlink" Target="https://store.fut-electronics.com/products/idler-pulley-kit?_pos=1&amp;_sid=9ef139122&amp;_ss=r" TargetMode="External"/><Relationship Id="rId1" Type="http://schemas.openxmlformats.org/officeDocument/2006/relationships/hyperlink" Target="https://store.fut-electronics.com/products/timing-pulley-gt2-20-teeth-5mm-inner-diameter?_pos=1&amp;_sid=6231d177a&amp;_ss=r" TargetMode="External"/><Relationship Id="rId4" Type="http://schemas.openxmlformats.org/officeDocument/2006/relationships/hyperlink" Target="https://store.fut-electronics.com/products/timing-pulley-gt2-20-teeth-5mm-inner-diameter?_pos=1&amp;_sid=6231d177a&amp;_ss=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e.fut-electronics.com/products/stepper-motor-nema-17-2-kg-cm?srsltid=AfmBOor7iUlVBli6P_R2XbglL03inGiWnRub-3u4NxTeTpoBcFA3qkAD" TargetMode="External"/><Relationship Id="rId2" Type="http://schemas.openxmlformats.org/officeDocument/2006/relationships/hyperlink" Target="https://ampere-electronics.com/product/nema17-stepper-motor-with-5-181-planetary-gearbox-17hs4401s-pg518/" TargetMode="External"/><Relationship Id="rId1" Type="http://schemas.openxmlformats.org/officeDocument/2006/relationships/hyperlink" Target="https://store.fut-electronics.com/products/stepper-motor-nema-17-2-kg-cm?srsltid=AfmBOor7iUlVBli6P_R2XbglL03inGiWnRub-3u4NxTeTpoBcFA3qk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A24" sqref="A24"/>
    </sheetView>
  </sheetViews>
  <sheetFormatPr defaultRowHeight="15" x14ac:dyDescent="0.25"/>
  <cols>
    <col min="3" max="3" width="23.5703125" bestFit="1" customWidth="1"/>
    <col min="5" max="5" width="24.28515625" customWidth="1"/>
    <col min="7" max="7" width="46.7109375" bestFit="1" customWidth="1"/>
  </cols>
  <sheetData>
    <row r="1" spans="1:7" ht="15.75" thickBot="1" x14ac:dyDescent="0.3">
      <c r="A1" s="28" t="s">
        <v>2</v>
      </c>
      <c r="B1" s="28"/>
      <c r="C1" s="14" t="s">
        <v>3</v>
      </c>
      <c r="D1" s="14" t="s">
        <v>20</v>
      </c>
      <c r="E1" t="s">
        <v>53</v>
      </c>
      <c r="F1" t="s">
        <v>54</v>
      </c>
    </row>
    <row r="2" spans="1:7" x14ac:dyDescent="0.25">
      <c r="A2" s="31" t="s">
        <v>4</v>
      </c>
      <c r="B2" s="29" t="s">
        <v>1</v>
      </c>
      <c r="C2" s="2" t="s">
        <v>5</v>
      </c>
      <c r="D2" s="3">
        <v>1</v>
      </c>
    </row>
    <row r="3" spans="1:7" x14ac:dyDescent="0.25">
      <c r="A3" s="32"/>
      <c r="B3" s="30"/>
      <c r="C3" s="4" t="s">
        <v>6</v>
      </c>
      <c r="D3" s="5">
        <v>1</v>
      </c>
    </row>
    <row r="4" spans="1:7" x14ac:dyDescent="0.25">
      <c r="A4" s="32"/>
      <c r="B4" s="30"/>
      <c r="C4" s="4" t="s">
        <v>7</v>
      </c>
      <c r="D4" s="5">
        <v>1</v>
      </c>
    </row>
    <row r="5" spans="1:7" ht="45.75" thickBot="1" x14ac:dyDescent="0.3">
      <c r="A5" s="33"/>
      <c r="B5" s="6" t="s">
        <v>12</v>
      </c>
      <c r="C5" s="63" t="s">
        <v>8</v>
      </c>
      <c r="D5" s="7">
        <v>1</v>
      </c>
      <c r="E5" s="44" t="s">
        <v>55</v>
      </c>
      <c r="F5" s="45" t="s">
        <v>56</v>
      </c>
      <c r="G5" s="46" t="s">
        <v>57</v>
      </c>
    </row>
    <row r="6" spans="1:7" x14ac:dyDescent="0.25">
      <c r="A6" s="34" t="s">
        <v>0</v>
      </c>
      <c r="B6" s="51" t="s">
        <v>1</v>
      </c>
      <c r="C6" s="8" t="s">
        <v>9</v>
      </c>
      <c r="D6" s="9">
        <v>1</v>
      </c>
    </row>
    <row r="7" spans="1:7" x14ac:dyDescent="0.25">
      <c r="A7" s="35"/>
      <c r="B7" s="52"/>
      <c r="C7" s="10" t="s">
        <v>10</v>
      </c>
      <c r="D7" s="11">
        <v>1</v>
      </c>
    </row>
    <row r="8" spans="1:7" x14ac:dyDescent="0.25">
      <c r="A8" s="35"/>
      <c r="B8" s="52"/>
      <c r="C8" s="10" t="s">
        <v>11</v>
      </c>
      <c r="D8" s="11">
        <v>1</v>
      </c>
    </row>
    <row r="9" spans="1:7" x14ac:dyDescent="0.25">
      <c r="A9" s="35"/>
      <c r="B9" s="53"/>
      <c r="C9" s="10" t="s">
        <v>13</v>
      </c>
      <c r="D9" s="11">
        <v>1</v>
      </c>
    </row>
    <row r="10" spans="1:7" x14ac:dyDescent="0.25">
      <c r="A10" s="35"/>
      <c r="B10" s="54" t="s">
        <v>12</v>
      </c>
      <c r="C10" s="10" t="s">
        <v>14</v>
      </c>
      <c r="D10" s="11">
        <v>1</v>
      </c>
    </row>
    <row r="11" spans="1:7" ht="45" x14ac:dyDescent="0.25">
      <c r="A11" s="35"/>
      <c r="B11" s="52"/>
      <c r="C11" s="64" t="s">
        <v>8</v>
      </c>
      <c r="D11" s="11">
        <v>1</v>
      </c>
      <c r="E11" s="44" t="s">
        <v>55</v>
      </c>
      <c r="F11" s="45" t="s">
        <v>56</v>
      </c>
      <c r="G11" s="46" t="s">
        <v>57</v>
      </c>
    </row>
    <row r="12" spans="1:7" ht="15.75" thickBot="1" x14ac:dyDescent="0.3">
      <c r="A12" s="36"/>
      <c r="B12" s="55"/>
      <c r="C12" s="12" t="s">
        <v>23</v>
      </c>
      <c r="D12" s="13">
        <v>1</v>
      </c>
      <c r="E12" t="s">
        <v>73</v>
      </c>
      <c r="F12" s="49" t="s">
        <v>72</v>
      </c>
      <c r="G12" t="s">
        <v>74</v>
      </c>
    </row>
    <row r="13" spans="1:7" x14ac:dyDescent="0.25">
      <c r="A13" s="31" t="s">
        <v>15</v>
      </c>
      <c r="B13" s="56" t="s">
        <v>1</v>
      </c>
      <c r="C13" s="2" t="s">
        <v>16</v>
      </c>
      <c r="D13" s="3">
        <v>1</v>
      </c>
    </row>
    <row r="14" spans="1:7" x14ac:dyDescent="0.25">
      <c r="A14" s="32"/>
      <c r="B14" s="57"/>
      <c r="C14" s="4" t="s">
        <v>17</v>
      </c>
      <c r="D14" s="5">
        <v>1</v>
      </c>
    </row>
    <row r="15" spans="1:7" x14ac:dyDescent="0.25">
      <c r="A15" s="32"/>
      <c r="B15" s="57"/>
      <c r="C15" s="4" t="s">
        <v>18</v>
      </c>
      <c r="D15" s="5">
        <v>1</v>
      </c>
    </row>
    <row r="16" spans="1:7" x14ac:dyDescent="0.25">
      <c r="A16" s="32"/>
      <c r="B16" s="57"/>
      <c r="C16" s="4" t="s">
        <v>19</v>
      </c>
      <c r="D16" s="5">
        <v>1</v>
      </c>
    </row>
    <row r="17" spans="1:7" x14ac:dyDescent="0.25">
      <c r="A17" s="32"/>
      <c r="B17" s="60" t="s">
        <v>12</v>
      </c>
      <c r="C17" s="4" t="s">
        <v>21</v>
      </c>
      <c r="D17" s="5">
        <v>1</v>
      </c>
    </row>
    <row r="18" spans="1:7" x14ac:dyDescent="0.25">
      <c r="A18" s="32"/>
      <c r="B18" s="57"/>
      <c r="C18" s="4" t="s">
        <v>22</v>
      </c>
      <c r="D18" s="5">
        <v>2</v>
      </c>
    </row>
    <row r="19" spans="1:7" ht="45.75" thickBot="1" x14ac:dyDescent="0.3">
      <c r="A19" s="33"/>
      <c r="B19" s="62"/>
      <c r="C19" s="63" t="s">
        <v>8</v>
      </c>
      <c r="D19" s="7">
        <v>1</v>
      </c>
      <c r="E19" s="44" t="s">
        <v>55</v>
      </c>
      <c r="F19" s="45" t="s">
        <v>56</v>
      </c>
      <c r="G19" t="s">
        <v>57</v>
      </c>
    </row>
    <row r="20" spans="1:7" x14ac:dyDescent="0.25">
      <c r="A20" s="59" t="s">
        <v>43</v>
      </c>
      <c r="B20" s="4" t="s">
        <v>1</v>
      </c>
      <c r="C20" s="4" t="s">
        <v>88</v>
      </c>
      <c r="D20" s="3">
        <v>1</v>
      </c>
    </row>
    <row r="21" spans="1:7" x14ac:dyDescent="0.25">
      <c r="A21" s="47"/>
      <c r="B21" s="60" t="s">
        <v>12</v>
      </c>
      <c r="C21" s="4" t="s">
        <v>14</v>
      </c>
      <c r="D21" s="5">
        <v>1</v>
      </c>
    </row>
    <row r="22" spans="1:7" x14ac:dyDescent="0.25">
      <c r="A22" s="47"/>
      <c r="B22" s="61"/>
      <c r="C22" s="64" t="s">
        <v>89</v>
      </c>
      <c r="D22" s="5">
        <v>1</v>
      </c>
      <c r="E22" s="58" t="s">
        <v>90</v>
      </c>
    </row>
    <row r="23" spans="1:7" x14ac:dyDescent="0.25">
      <c r="A23" t="s">
        <v>48</v>
      </c>
    </row>
  </sheetData>
  <mergeCells count="11">
    <mergeCell ref="B21:B22"/>
    <mergeCell ref="A20:A22"/>
    <mergeCell ref="A1:B1"/>
    <mergeCell ref="A13:A19"/>
    <mergeCell ref="A2:A5"/>
    <mergeCell ref="A6:A12"/>
    <mergeCell ref="B2:B4"/>
    <mergeCell ref="B6:B9"/>
    <mergeCell ref="B10:B12"/>
    <mergeCell ref="B13:B16"/>
    <mergeCell ref="B17:B19"/>
  </mergeCells>
  <hyperlinks>
    <hyperlink ref="F5" r:id="rId1" xr:uid="{B5095CBD-914B-4D63-BA4A-A2C5AFDF70A8}"/>
    <hyperlink ref="F12" r:id="rId2" xr:uid="{BFB782D1-5E1B-411B-9604-669FC0236F16}"/>
    <hyperlink ref="F19" r:id="rId3" xr:uid="{22D12652-0DAC-4555-B5B2-3D08F290EBA8}"/>
    <hyperlink ref="F11" r:id="rId4" xr:uid="{B8CDC57B-9589-4E49-8A24-F64059F604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7CE2-A18A-49C8-858C-36F840735889}">
  <dimension ref="A1:L84"/>
  <sheetViews>
    <sheetView zoomScaleNormal="100" workbookViewId="0">
      <selection activeCell="H17" sqref="H17"/>
    </sheetView>
  </sheetViews>
  <sheetFormatPr defaultRowHeight="15" x14ac:dyDescent="0.25"/>
  <cols>
    <col min="1" max="1" width="9.140625" style="1"/>
    <col min="2" max="3" width="20.28515625" style="1" bestFit="1" customWidth="1"/>
    <col min="4" max="8" width="9.140625" style="1"/>
    <col min="9" max="12" width="15.7109375" style="1" customWidth="1"/>
    <col min="13" max="16384" width="9.140625" style="1"/>
  </cols>
  <sheetData>
    <row r="1" spans="1:12" ht="15.75" thickBo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.75" thickBot="1" x14ac:dyDescent="0.3">
      <c r="A2" s="14" t="s">
        <v>24</v>
      </c>
      <c r="B2" s="14" t="s">
        <v>2</v>
      </c>
      <c r="C2" s="14" t="s">
        <v>3</v>
      </c>
      <c r="D2" s="14" t="s">
        <v>29</v>
      </c>
      <c r="E2" s="14" t="s">
        <v>32</v>
      </c>
      <c r="F2" s="14" t="s">
        <v>26</v>
      </c>
      <c r="G2" s="14" t="s">
        <v>25</v>
      </c>
      <c r="H2" s="14" t="s">
        <v>27</v>
      </c>
      <c r="I2" s="28" t="s">
        <v>28</v>
      </c>
      <c r="J2" s="28"/>
      <c r="K2" s="28" t="s">
        <v>28</v>
      </c>
      <c r="L2" s="28"/>
    </row>
    <row r="3" spans="1:12" ht="15.75" thickBot="1" x14ac:dyDescent="0.3">
      <c r="A3" s="28" t="s">
        <v>4</v>
      </c>
      <c r="B3" s="21" t="s">
        <v>30</v>
      </c>
      <c r="C3" s="2" t="s">
        <v>30</v>
      </c>
      <c r="D3" s="2">
        <v>7002</v>
      </c>
      <c r="E3" s="2">
        <v>2</v>
      </c>
      <c r="F3" s="2">
        <v>15</v>
      </c>
      <c r="G3" s="2">
        <v>32</v>
      </c>
      <c r="H3" s="2">
        <v>9</v>
      </c>
      <c r="I3" s="2" t="s">
        <v>5</v>
      </c>
      <c r="J3" s="2" t="s">
        <v>6</v>
      </c>
      <c r="K3" s="2" t="s">
        <v>7</v>
      </c>
      <c r="L3" s="3" t="s">
        <v>6</v>
      </c>
    </row>
    <row r="4" spans="1:12" ht="15.75" thickBot="1" x14ac:dyDescent="0.3">
      <c r="A4" s="28"/>
      <c r="B4" s="22" t="s">
        <v>31</v>
      </c>
      <c r="C4" s="6" t="s">
        <v>31</v>
      </c>
      <c r="D4" s="6">
        <v>51104</v>
      </c>
      <c r="E4" s="6">
        <v>2</v>
      </c>
      <c r="F4" s="6">
        <v>20</v>
      </c>
      <c r="G4" s="6">
        <v>35</v>
      </c>
      <c r="H4" s="6">
        <v>10</v>
      </c>
      <c r="I4" s="6" t="s">
        <v>5</v>
      </c>
      <c r="J4" s="6" t="s">
        <v>6</v>
      </c>
      <c r="K4" s="6" t="s">
        <v>7</v>
      </c>
      <c r="L4" s="7" t="s">
        <v>6</v>
      </c>
    </row>
    <row r="5" spans="1:12" ht="15.75" thickBot="1" x14ac:dyDescent="0.3">
      <c r="A5" s="40" t="s">
        <v>0</v>
      </c>
      <c r="B5" s="23" t="s">
        <v>30</v>
      </c>
      <c r="C5" s="8" t="s">
        <v>30</v>
      </c>
      <c r="D5" s="8">
        <v>7002</v>
      </c>
      <c r="E5" s="8">
        <v>2</v>
      </c>
      <c r="F5" s="8">
        <v>15</v>
      </c>
      <c r="G5" s="8">
        <v>32</v>
      </c>
      <c r="H5" s="8">
        <v>9</v>
      </c>
      <c r="I5" s="8" t="s">
        <v>34</v>
      </c>
      <c r="J5" s="8" t="s">
        <v>33</v>
      </c>
      <c r="K5" s="8" t="s">
        <v>34</v>
      </c>
      <c r="L5" s="9" t="s">
        <v>33</v>
      </c>
    </row>
    <row r="6" spans="1:12" ht="15.75" thickBot="1" x14ac:dyDescent="0.3">
      <c r="A6" s="40"/>
      <c r="B6" s="24" t="s">
        <v>31</v>
      </c>
      <c r="C6" s="10" t="s">
        <v>31</v>
      </c>
      <c r="D6" s="10">
        <v>51104</v>
      </c>
      <c r="E6" s="10">
        <v>1</v>
      </c>
      <c r="F6" s="10">
        <v>20</v>
      </c>
      <c r="G6" s="10">
        <v>35</v>
      </c>
      <c r="H6" s="10">
        <v>10</v>
      </c>
      <c r="I6" s="10" t="s">
        <v>34</v>
      </c>
      <c r="J6" s="10" t="s">
        <v>33</v>
      </c>
      <c r="K6" s="10"/>
      <c r="L6" s="11"/>
    </row>
    <row r="7" spans="1:12" ht="15.75" thickBot="1" x14ac:dyDescent="0.3">
      <c r="A7" s="40"/>
      <c r="B7" s="24" t="s">
        <v>35</v>
      </c>
      <c r="C7" s="10" t="s">
        <v>35</v>
      </c>
      <c r="D7" s="10" t="s">
        <v>36</v>
      </c>
      <c r="E7" s="10">
        <v>1</v>
      </c>
      <c r="F7" s="10">
        <v>5</v>
      </c>
      <c r="G7" s="10">
        <v>13</v>
      </c>
      <c r="H7" s="10">
        <v>4</v>
      </c>
      <c r="I7" s="10" t="s">
        <v>37</v>
      </c>
      <c r="J7" s="10" t="s">
        <v>38</v>
      </c>
      <c r="K7" s="10"/>
      <c r="L7" s="11"/>
    </row>
    <row r="8" spans="1:12" ht="15.75" thickBot="1" x14ac:dyDescent="0.3">
      <c r="A8" s="40"/>
      <c r="B8" s="25" t="s">
        <v>39</v>
      </c>
      <c r="C8" s="12" t="s">
        <v>39</v>
      </c>
      <c r="D8" s="12">
        <v>625</v>
      </c>
      <c r="E8" s="12">
        <v>2</v>
      </c>
      <c r="F8" s="12">
        <v>5</v>
      </c>
      <c r="G8" s="12">
        <v>16</v>
      </c>
      <c r="H8" s="12">
        <v>5</v>
      </c>
      <c r="I8" s="38" t="s">
        <v>40</v>
      </c>
      <c r="J8" s="38"/>
      <c r="K8" s="38" t="s">
        <v>40</v>
      </c>
      <c r="L8" s="39"/>
    </row>
    <row r="9" spans="1:12" ht="15.75" thickBot="1" x14ac:dyDescent="0.3">
      <c r="A9" s="14" t="s">
        <v>15</v>
      </c>
      <c r="B9" s="26" t="s">
        <v>35</v>
      </c>
      <c r="C9" s="15" t="s">
        <v>35</v>
      </c>
      <c r="D9" s="15">
        <v>627</v>
      </c>
      <c r="E9" s="15">
        <v>2</v>
      </c>
      <c r="F9" s="15">
        <v>7</v>
      </c>
      <c r="G9" s="15">
        <v>22</v>
      </c>
      <c r="H9" s="15">
        <v>7</v>
      </c>
      <c r="I9" s="15" t="s">
        <v>41</v>
      </c>
      <c r="J9" s="15" t="s">
        <v>42</v>
      </c>
      <c r="K9" s="15"/>
      <c r="L9" s="16"/>
    </row>
    <row r="10" spans="1:12" ht="15.75" thickBot="1" x14ac:dyDescent="0.3">
      <c r="A10" s="65" t="s">
        <v>43</v>
      </c>
      <c r="B10" s="23" t="s">
        <v>35</v>
      </c>
      <c r="C10" s="8" t="s">
        <v>35</v>
      </c>
      <c r="D10" s="8">
        <v>7002</v>
      </c>
      <c r="E10" s="8">
        <v>2</v>
      </c>
      <c r="F10" s="8">
        <v>15</v>
      </c>
      <c r="G10" s="8">
        <v>32</v>
      </c>
      <c r="H10" s="8">
        <v>9</v>
      </c>
      <c r="I10" s="37" t="s">
        <v>45</v>
      </c>
      <c r="J10" s="37"/>
      <c r="K10" s="8"/>
      <c r="L10" s="9"/>
    </row>
    <row r="11" spans="1:12" ht="15.75" thickBot="1" x14ac:dyDescent="0.3">
      <c r="A11" s="70" t="s">
        <v>48</v>
      </c>
      <c r="B11" s="66" t="s">
        <v>35</v>
      </c>
      <c r="C11" s="67" t="s">
        <v>35</v>
      </c>
      <c r="D11" s="67">
        <v>625</v>
      </c>
      <c r="E11" s="67">
        <v>1</v>
      </c>
      <c r="F11" s="67">
        <v>5</v>
      </c>
      <c r="G11" s="67">
        <v>16</v>
      </c>
      <c r="H11" s="67">
        <v>5</v>
      </c>
      <c r="I11" s="68" t="s">
        <v>44</v>
      </c>
      <c r="J11" s="68"/>
      <c r="K11" s="67"/>
      <c r="L11" s="69"/>
    </row>
    <row r="12" spans="1:12" ht="15.75" thickBot="1" x14ac:dyDescent="0.3">
      <c r="A12" s="71"/>
      <c r="B12" s="26" t="s">
        <v>35</v>
      </c>
      <c r="C12" s="15" t="s">
        <v>35</v>
      </c>
      <c r="D12" s="15">
        <v>625</v>
      </c>
      <c r="E12" s="15">
        <v>4</v>
      </c>
      <c r="F12" s="15">
        <v>5</v>
      </c>
      <c r="G12" s="15">
        <v>16</v>
      </c>
      <c r="H12" s="15">
        <v>5</v>
      </c>
      <c r="I12" s="41" t="s">
        <v>46</v>
      </c>
      <c r="J12" s="41"/>
      <c r="K12" s="15"/>
      <c r="L12" s="16"/>
    </row>
    <row r="13" spans="1:12" ht="15.75" thickBot="1" x14ac:dyDescent="0.3">
      <c r="A13" s="17" t="s">
        <v>47</v>
      </c>
      <c r="B13" s="20" t="s">
        <v>35</v>
      </c>
      <c r="C13" s="18" t="s">
        <v>35</v>
      </c>
      <c r="D13" s="18">
        <v>625</v>
      </c>
      <c r="E13" s="18">
        <v>2</v>
      </c>
      <c r="F13" s="18">
        <v>5</v>
      </c>
      <c r="G13" s="18">
        <v>16</v>
      </c>
      <c r="H13" s="18">
        <v>5</v>
      </c>
      <c r="I13" s="42" t="s">
        <v>49</v>
      </c>
      <c r="J13" s="43"/>
      <c r="K13" s="18"/>
      <c r="L13" s="19"/>
    </row>
    <row r="14" spans="1:12" x14ac:dyDescent="0.25">
      <c r="A14" s="27"/>
      <c r="B14" s="27"/>
      <c r="C14" s="27"/>
      <c r="D14" s="27"/>
      <c r="E14" s="4">
        <f>SUM(E3:E13)</f>
        <v>21</v>
      </c>
      <c r="F14" s="27"/>
      <c r="G14" s="27"/>
      <c r="H14" s="27"/>
      <c r="I14" s="27"/>
      <c r="J14" s="27"/>
      <c r="K14" s="27"/>
      <c r="L14" s="27"/>
    </row>
    <row r="15" spans="1:12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2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1:12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1:12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x14ac:dyDescent="0.25">
      <c r="A20" s="4" t="s">
        <v>29</v>
      </c>
      <c r="B20" s="4" t="s">
        <v>32</v>
      </c>
      <c r="C20" s="4" t="s">
        <v>26</v>
      </c>
      <c r="D20" s="4" t="s">
        <v>50</v>
      </c>
      <c r="E20" s="4" t="s">
        <v>27</v>
      </c>
      <c r="F20" s="4" t="s">
        <v>51</v>
      </c>
      <c r="G20" s="4" t="s">
        <v>52</v>
      </c>
      <c r="H20" s="27"/>
      <c r="I20" s="27"/>
      <c r="J20" s="27"/>
      <c r="K20" s="27"/>
      <c r="L20" s="27"/>
    </row>
    <row r="21" spans="1:12" x14ac:dyDescent="0.25">
      <c r="A21" s="4">
        <v>7002</v>
      </c>
      <c r="B21" s="4">
        <f>SUMIF(D2:D98, A21, E2:E98)</f>
        <v>6</v>
      </c>
      <c r="C21" s="4">
        <v>15</v>
      </c>
      <c r="D21" s="4">
        <v>32</v>
      </c>
      <c r="E21" s="4">
        <v>9</v>
      </c>
      <c r="F21" s="4"/>
      <c r="G21" s="4"/>
      <c r="H21" s="27"/>
      <c r="I21" s="27"/>
      <c r="J21" s="27"/>
      <c r="K21" s="27"/>
      <c r="L21" s="27"/>
    </row>
    <row r="22" spans="1:12" x14ac:dyDescent="0.25">
      <c r="A22" s="4">
        <v>51104</v>
      </c>
      <c r="B22" s="4">
        <f>SUMIF(D3:D99, A22, E3:E99)</f>
        <v>3</v>
      </c>
      <c r="C22" s="4">
        <v>20</v>
      </c>
      <c r="D22" s="4">
        <v>35</v>
      </c>
      <c r="E22" s="4">
        <v>10</v>
      </c>
      <c r="F22" s="4"/>
      <c r="G22" s="4"/>
      <c r="H22" s="27"/>
      <c r="I22" s="27"/>
      <c r="J22" s="27"/>
      <c r="K22" s="27"/>
      <c r="L22" s="27"/>
    </row>
    <row r="23" spans="1:12" x14ac:dyDescent="0.25">
      <c r="A23" s="4" t="s">
        <v>36</v>
      </c>
      <c r="B23" s="4">
        <f>SUMIF(D4:D100, A23, E4:E100)</f>
        <v>1</v>
      </c>
      <c r="C23" s="4">
        <v>5</v>
      </c>
      <c r="D23" s="4">
        <v>13</v>
      </c>
      <c r="E23" s="4">
        <v>4</v>
      </c>
      <c r="F23" s="4"/>
      <c r="G23" s="4"/>
      <c r="H23" s="27"/>
      <c r="I23" s="27"/>
      <c r="J23" s="27"/>
      <c r="K23" s="27"/>
      <c r="L23" s="27"/>
    </row>
    <row r="24" spans="1:12" x14ac:dyDescent="0.25">
      <c r="A24" s="4">
        <v>627</v>
      </c>
      <c r="B24" s="4">
        <f>SUMIF(D6:D102, A24, E6:E102)</f>
        <v>2</v>
      </c>
      <c r="C24" s="4">
        <v>7</v>
      </c>
      <c r="D24" s="4">
        <v>22</v>
      </c>
      <c r="E24" s="4">
        <v>7</v>
      </c>
      <c r="F24" s="4"/>
      <c r="G24" s="4"/>
      <c r="H24" s="27"/>
      <c r="I24" s="27"/>
      <c r="J24" s="27"/>
      <c r="K24" s="27"/>
      <c r="L24" s="27"/>
    </row>
    <row r="25" spans="1:12" x14ac:dyDescent="0.25">
      <c r="A25" s="4">
        <v>625</v>
      </c>
      <c r="B25" s="4">
        <f>SUMIF(D8:D104, A25, E8:E104)</f>
        <v>9</v>
      </c>
      <c r="C25" s="4">
        <v>5</v>
      </c>
      <c r="D25" s="4">
        <v>16</v>
      </c>
      <c r="E25" s="4">
        <v>5</v>
      </c>
      <c r="F25" s="4"/>
      <c r="G25" s="4"/>
      <c r="H25" s="27"/>
      <c r="I25" s="27"/>
      <c r="J25" s="27"/>
      <c r="K25" s="27"/>
      <c r="L25" s="27"/>
    </row>
    <row r="26" spans="1:12" x14ac:dyDescent="0.25">
      <c r="A26" s="27"/>
      <c r="B26" s="4">
        <f>SUM(B21:B25)</f>
        <v>21</v>
      </c>
      <c r="C26" s="27"/>
      <c r="D26" s="27"/>
      <c r="E26" s="27"/>
      <c r="F26" s="27"/>
      <c r="G26" s="4">
        <f>SUM(G21:G25)</f>
        <v>0</v>
      </c>
      <c r="H26" s="27"/>
      <c r="I26" s="27"/>
      <c r="J26" s="27"/>
      <c r="K26" s="27"/>
      <c r="L26" s="27"/>
    </row>
    <row r="27" spans="1:12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2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2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2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1:12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spans="1:12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2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1:12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12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spans="1:12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spans="1:12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</row>
    <row r="42" spans="1:12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3" spans="1:12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</row>
    <row r="44" spans="1:12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1:12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spans="1:12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</row>
    <row r="47" spans="1:12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1:12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spans="1:12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</row>
    <row r="50" spans="1:12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 spans="1:12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 spans="1:12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spans="1:12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spans="1:12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</row>
    <row r="55" spans="1:12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</row>
    <row r="56" spans="1:12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</row>
    <row r="57" spans="1:12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</row>
    <row r="58" spans="1:12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</row>
    <row r="59" spans="1:12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</row>
    <row r="60" spans="1:12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</row>
    <row r="61" spans="1:12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spans="1:12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</row>
    <row r="63" spans="1:12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spans="1:12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spans="1:12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spans="1:12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spans="1:12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spans="1:12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</row>
    <row r="69" spans="1:12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spans="1:12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</row>
    <row r="71" spans="1:12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spans="1:12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</row>
    <row r="73" spans="1:12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</row>
    <row r="74" spans="1:12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</row>
    <row r="75" spans="1:12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</row>
    <row r="76" spans="1:12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 spans="1:12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 spans="1:12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spans="1:12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</row>
    <row r="80" spans="1:12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</row>
    <row r="81" spans="1:12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</row>
    <row r="82" spans="1:12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</row>
    <row r="83" spans="1:12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</row>
    <row r="84" spans="1:12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</row>
  </sheetData>
  <mergeCells count="11">
    <mergeCell ref="I11:J11"/>
    <mergeCell ref="I10:J10"/>
    <mergeCell ref="I12:J12"/>
    <mergeCell ref="I13:J13"/>
    <mergeCell ref="A11:A12"/>
    <mergeCell ref="A3:A4"/>
    <mergeCell ref="I2:J2"/>
    <mergeCell ref="K2:L2"/>
    <mergeCell ref="I8:J8"/>
    <mergeCell ref="K8:L8"/>
    <mergeCell ref="A5:A8"/>
  </mergeCells>
  <pageMargins left="0.7" right="0.7" top="0.75" bottom="0.75" header="0.3" footer="0.3"/>
  <pageSetup scale="55" orientation="portrait" r:id="rId1"/>
  <headerFooter>
    <oddHeader>&amp;C&amp;48BEARINGS BOM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4901-731D-4805-9898-BAEFBF04B8BE}">
  <dimension ref="A1:K4"/>
  <sheetViews>
    <sheetView workbookViewId="0">
      <selection activeCell="C10" sqref="C10"/>
    </sheetView>
  </sheetViews>
  <sheetFormatPr defaultRowHeight="15" x14ac:dyDescent="0.25"/>
  <cols>
    <col min="2" max="2" width="15.28515625" bestFit="1" customWidth="1"/>
    <col min="3" max="3" width="12.5703125" bestFit="1" customWidth="1"/>
    <col min="4" max="4" width="72" bestFit="1" customWidth="1"/>
  </cols>
  <sheetData>
    <row r="1" spans="1:11" x14ac:dyDescent="0.25">
      <c r="A1" t="s">
        <v>24</v>
      </c>
      <c r="B1" t="s">
        <v>3</v>
      </c>
      <c r="C1" t="s">
        <v>76</v>
      </c>
      <c r="H1" t="s">
        <v>24</v>
      </c>
    </row>
    <row r="2" spans="1:11" x14ac:dyDescent="0.25">
      <c r="A2" t="s">
        <v>0</v>
      </c>
      <c r="B2" t="s">
        <v>75</v>
      </c>
      <c r="D2" t="s">
        <v>81</v>
      </c>
      <c r="H2" t="s">
        <v>96</v>
      </c>
    </row>
    <row r="3" spans="1:11" x14ac:dyDescent="0.25">
      <c r="B3" t="s">
        <v>83</v>
      </c>
      <c r="C3" t="s">
        <v>84</v>
      </c>
      <c r="D3" t="s">
        <v>85</v>
      </c>
      <c r="H3" t="s">
        <v>97</v>
      </c>
    </row>
    <row r="4" spans="1:11" x14ac:dyDescent="0.25">
      <c r="A4" t="s">
        <v>15</v>
      </c>
      <c r="B4" t="s">
        <v>83</v>
      </c>
      <c r="C4" t="s">
        <v>86</v>
      </c>
      <c r="D4" t="s">
        <v>87</v>
      </c>
      <c r="H4" t="s">
        <v>98</v>
      </c>
      <c r="I4" t="s">
        <v>99</v>
      </c>
      <c r="J4" t="s">
        <v>100</v>
      </c>
      <c r="K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F173-3712-469C-8216-13FC30CB8ABB}">
  <dimension ref="A1:F17"/>
  <sheetViews>
    <sheetView workbookViewId="0">
      <selection activeCell="E17" sqref="E17"/>
    </sheetView>
  </sheetViews>
  <sheetFormatPr defaultRowHeight="15" x14ac:dyDescent="0.25"/>
  <cols>
    <col min="1" max="5" width="9.140625" style="1"/>
    <col min="6" max="6" width="53.28515625" style="1" bestFit="1" customWidth="1"/>
    <col min="7" max="16384" width="9.140625" style="1"/>
  </cols>
  <sheetData>
    <row r="1" spans="1:6" x14ac:dyDescent="0.25">
      <c r="A1" s="1" t="s">
        <v>24</v>
      </c>
      <c r="B1" s="1" t="s">
        <v>2</v>
      </c>
      <c r="C1" s="1" t="s">
        <v>29</v>
      </c>
      <c r="D1" s="1" t="s">
        <v>32</v>
      </c>
      <c r="E1" s="1" t="s">
        <v>60</v>
      </c>
      <c r="F1" s="1" t="s">
        <v>63</v>
      </c>
    </row>
    <row r="2" spans="1:6" x14ac:dyDescent="0.25">
      <c r="A2" s="48" t="s">
        <v>4</v>
      </c>
      <c r="B2" s="48" t="s">
        <v>59</v>
      </c>
      <c r="C2" s="1" t="s">
        <v>61</v>
      </c>
      <c r="D2" s="1">
        <v>5</v>
      </c>
      <c r="E2" s="1">
        <v>70</v>
      </c>
    </row>
    <row r="3" spans="1:6" x14ac:dyDescent="0.25">
      <c r="A3" s="48"/>
      <c r="B3" s="48"/>
      <c r="C3" s="1" t="s">
        <v>62</v>
      </c>
      <c r="D3" s="1">
        <v>4</v>
      </c>
      <c r="E3" s="1">
        <v>10</v>
      </c>
    </row>
    <row r="4" spans="1:6" x14ac:dyDescent="0.25">
      <c r="A4" s="48"/>
      <c r="B4" s="1" t="s">
        <v>58</v>
      </c>
      <c r="C4" s="1" t="s">
        <v>61</v>
      </c>
      <c r="D4" s="1">
        <v>5</v>
      </c>
    </row>
    <row r="5" spans="1:6" x14ac:dyDescent="0.25">
      <c r="A5" s="48" t="s">
        <v>0</v>
      </c>
      <c r="B5" s="48" t="s">
        <v>59</v>
      </c>
      <c r="C5" s="1" t="s">
        <v>61</v>
      </c>
      <c r="D5" s="1">
        <v>4</v>
      </c>
      <c r="E5" s="1">
        <v>16</v>
      </c>
    </row>
    <row r="6" spans="1:6" x14ac:dyDescent="0.25">
      <c r="A6" s="48"/>
      <c r="B6" s="48"/>
      <c r="C6" s="1" t="s">
        <v>61</v>
      </c>
      <c r="D6" s="1">
        <v>2</v>
      </c>
      <c r="E6" s="1">
        <v>30</v>
      </c>
    </row>
    <row r="7" spans="1:6" x14ac:dyDescent="0.25">
      <c r="A7" s="48"/>
      <c r="B7" s="48"/>
      <c r="C7" s="1" t="s">
        <v>61</v>
      </c>
      <c r="D7" s="1">
        <v>2</v>
      </c>
      <c r="E7" s="1">
        <v>40</v>
      </c>
      <c r="F7" s="1" t="s">
        <v>82</v>
      </c>
    </row>
    <row r="8" spans="1:6" x14ac:dyDescent="0.25">
      <c r="A8" s="48"/>
      <c r="B8" s="48"/>
      <c r="C8" s="1" t="s">
        <v>77</v>
      </c>
      <c r="D8" s="1">
        <v>4</v>
      </c>
      <c r="E8" s="1">
        <v>20</v>
      </c>
    </row>
    <row r="9" spans="1:6" x14ac:dyDescent="0.25">
      <c r="A9" s="48"/>
      <c r="B9" s="48"/>
      <c r="C9" s="1" t="s">
        <v>62</v>
      </c>
      <c r="D9" s="1">
        <v>4</v>
      </c>
      <c r="E9" s="1">
        <v>20</v>
      </c>
    </row>
    <row r="10" spans="1:6" x14ac:dyDescent="0.25">
      <c r="A10" s="48"/>
      <c r="B10" s="48" t="s">
        <v>58</v>
      </c>
      <c r="C10" s="1" t="s">
        <v>61</v>
      </c>
      <c r="D10" s="1">
        <v>8</v>
      </c>
    </row>
    <row r="11" spans="1:6" x14ac:dyDescent="0.25">
      <c r="A11" s="48"/>
      <c r="B11" s="48"/>
      <c r="C11" s="1" t="s">
        <v>77</v>
      </c>
      <c r="D11" s="1">
        <v>4</v>
      </c>
      <c r="F11" s="1" t="s">
        <v>78</v>
      </c>
    </row>
    <row r="12" spans="1:6" x14ac:dyDescent="0.25">
      <c r="A12" s="48" t="s">
        <v>15</v>
      </c>
      <c r="B12" s="48" t="s">
        <v>59</v>
      </c>
      <c r="C12" s="1" t="s">
        <v>62</v>
      </c>
      <c r="D12" s="1">
        <v>3</v>
      </c>
      <c r="E12" s="1">
        <v>35</v>
      </c>
    </row>
    <row r="13" spans="1:6" x14ac:dyDescent="0.25">
      <c r="A13" s="48"/>
      <c r="B13" s="48"/>
      <c r="C13" s="1" t="s">
        <v>62</v>
      </c>
      <c r="D13" s="1">
        <v>4</v>
      </c>
      <c r="E13" s="1">
        <v>25</v>
      </c>
    </row>
    <row r="14" spans="1:6" x14ac:dyDescent="0.25">
      <c r="A14" s="48"/>
      <c r="B14" s="1" t="s">
        <v>58</v>
      </c>
      <c r="C14" s="1" t="s">
        <v>77</v>
      </c>
      <c r="D14" s="1">
        <v>3</v>
      </c>
    </row>
    <row r="15" spans="1:6" x14ac:dyDescent="0.25">
      <c r="A15" s="1" t="s">
        <v>15</v>
      </c>
      <c r="B15" s="1" t="s">
        <v>91</v>
      </c>
      <c r="C15" s="1" t="s">
        <v>92</v>
      </c>
      <c r="D15" s="1">
        <v>1</v>
      </c>
      <c r="E15" s="1">
        <v>80</v>
      </c>
      <c r="F15" s="1" t="s">
        <v>93</v>
      </c>
    </row>
    <row r="16" spans="1:6" x14ac:dyDescent="0.25">
      <c r="C16" s="1" t="s">
        <v>77</v>
      </c>
      <c r="D16" s="1">
        <v>4</v>
      </c>
      <c r="E16" s="1">
        <v>15</v>
      </c>
    </row>
    <row r="17" spans="3:5" x14ac:dyDescent="0.25">
      <c r="C17" s="1" t="s">
        <v>62</v>
      </c>
      <c r="D17" s="1">
        <v>4</v>
      </c>
      <c r="E17" s="1">
        <v>8</v>
      </c>
    </row>
  </sheetData>
  <mergeCells count="7">
    <mergeCell ref="A12:A14"/>
    <mergeCell ref="B12:B13"/>
    <mergeCell ref="A2:A4"/>
    <mergeCell ref="B2:B3"/>
    <mergeCell ref="B5:B9"/>
    <mergeCell ref="B10:B11"/>
    <mergeCell ref="A5:A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8E9C-ED44-4025-8C06-7A8E6EF3F3CC}">
  <dimension ref="A1:H7"/>
  <sheetViews>
    <sheetView workbookViewId="0">
      <selection activeCell="A8" sqref="A8"/>
    </sheetView>
  </sheetViews>
  <sheetFormatPr defaultRowHeight="15" x14ac:dyDescent="0.25"/>
  <cols>
    <col min="1" max="1" width="15.7109375" style="1" customWidth="1"/>
    <col min="2" max="2" width="16.42578125" style="1" bestFit="1" customWidth="1"/>
    <col min="3" max="8" width="15.7109375" style="1" customWidth="1"/>
    <col min="9" max="16384" width="9.140625" style="1"/>
  </cols>
  <sheetData>
    <row r="1" spans="1:8" x14ac:dyDescent="0.25">
      <c r="A1" s="48" t="s">
        <v>24</v>
      </c>
      <c r="B1" s="48" t="s">
        <v>64</v>
      </c>
      <c r="C1" s="1" t="s">
        <v>67</v>
      </c>
      <c r="E1" s="48" t="s">
        <v>65</v>
      </c>
      <c r="F1" s="48" t="s">
        <v>70</v>
      </c>
      <c r="G1" s="48" t="s">
        <v>54</v>
      </c>
      <c r="H1" s="48" t="s">
        <v>51</v>
      </c>
    </row>
    <row r="2" spans="1:8" x14ac:dyDescent="0.25">
      <c r="A2" s="48"/>
      <c r="B2" s="48"/>
      <c r="C2" s="1" t="s">
        <v>68</v>
      </c>
      <c r="D2" s="1" t="s">
        <v>69</v>
      </c>
      <c r="E2" s="48"/>
      <c r="F2" s="48"/>
      <c r="G2" s="48"/>
      <c r="H2" s="48"/>
    </row>
    <row r="3" spans="1:8" x14ac:dyDescent="0.25">
      <c r="A3" s="1" t="s">
        <v>4</v>
      </c>
      <c r="B3" s="1" t="s">
        <v>66</v>
      </c>
      <c r="C3" s="1">
        <v>47.3</v>
      </c>
      <c r="D3" s="1">
        <v>42.3</v>
      </c>
      <c r="E3" s="50">
        <v>5</v>
      </c>
      <c r="F3" s="1">
        <v>24</v>
      </c>
      <c r="G3" s="45" t="s">
        <v>71</v>
      </c>
      <c r="H3" s="1">
        <v>440</v>
      </c>
    </row>
    <row r="4" spans="1:8" x14ac:dyDescent="0.25">
      <c r="A4" s="1" t="s">
        <v>0</v>
      </c>
      <c r="B4" s="1" t="s">
        <v>79</v>
      </c>
      <c r="C4" s="1">
        <v>72</v>
      </c>
      <c r="D4" s="1">
        <v>42.3</v>
      </c>
      <c r="E4" s="1">
        <v>8</v>
      </c>
      <c r="F4" s="1">
        <v>17</v>
      </c>
      <c r="G4" s="45" t="s">
        <v>80</v>
      </c>
      <c r="H4" s="1">
        <v>1800</v>
      </c>
    </row>
    <row r="5" spans="1:8" x14ac:dyDescent="0.25">
      <c r="A5" s="1" t="s">
        <v>15</v>
      </c>
      <c r="B5" s="1" t="s">
        <v>66</v>
      </c>
      <c r="C5" s="1">
        <v>47.3</v>
      </c>
      <c r="D5" s="1">
        <v>42.3</v>
      </c>
      <c r="E5" s="50">
        <v>5</v>
      </c>
      <c r="F5" s="1">
        <v>24</v>
      </c>
      <c r="G5" s="45" t="s">
        <v>71</v>
      </c>
      <c r="H5" s="1">
        <v>440</v>
      </c>
    </row>
    <row r="6" spans="1:8" x14ac:dyDescent="0.25">
      <c r="A6" s="1" t="s">
        <v>43</v>
      </c>
      <c r="B6" s="1" t="s">
        <v>94</v>
      </c>
      <c r="C6" s="1" t="s">
        <v>95</v>
      </c>
      <c r="D6" s="1" t="s">
        <v>95</v>
      </c>
      <c r="E6" s="1" t="s">
        <v>95</v>
      </c>
      <c r="F6" s="1" t="s">
        <v>95</v>
      </c>
      <c r="G6" s="1" t="s">
        <v>95</v>
      </c>
    </row>
    <row r="7" spans="1:8" x14ac:dyDescent="0.25">
      <c r="A7" s="1" t="s">
        <v>48</v>
      </c>
    </row>
  </sheetData>
  <mergeCells count="6">
    <mergeCell ref="B1:B2"/>
    <mergeCell ref="A1:A2"/>
    <mergeCell ref="E1:E2"/>
    <mergeCell ref="G1:G2"/>
    <mergeCell ref="H1:H2"/>
    <mergeCell ref="F1:F2"/>
  </mergeCells>
  <hyperlinks>
    <hyperlink ref="G3" r:id="rId1" xr:uid="{D40B1BD2-F826-4A33-8F0F-ACB54534C7E7}"/>
    <hyperlink ref="G4" r:id="rId2" xr:uid="{16E43108-C78E-4F6A-9639-C208C8803CEC}"/>
    <hyperlink ref="G5" r:id="rId3" xr:uid="{56E3FF70-07CE-4DDB-BD05-5189FAD641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3d parts</vt:lpstr>
      <vt:lpstr>Bearings</vt:lpstr>
      <vt:lpstr>Shafts</vt:lpstr>
      <vt:lpstr>Scews And Nuts</vt:lpstr>
      <vt:lpstr>Motors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Hany</dc:creator>
  <cp:lastModifiedBy>Mario Hany Khalil Malak</cp:lastModifiedBy>
  <dcterms:created xsi:type="dcterms:W3CDTF">2015-06-05T18:17:20Z</dcterms:created>
  <dcterms:modified xsi:type="dcterms:W3CDTF">2025-11-05T11:16:37Z</dcterms:modified>
</cp:coreProperties>
</file>